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li\Desktop\Trabajo Académico\"/>
    </mc:Choice>
  </mc:AlternateContent>
  <xr:revisionPtr revIDLastSave="0" documentId="13_ncr:1_{B927F708-5422-4B2D-ACA2-2E7A2297B1B7}" xr6:coauthVersionLast="47" xr6:coauthVersionMax="47" xr10:uidLastSave="{00000000-0000-0000-0000-000000000000}"/>
  <bookViews>
    <workbookView xWindow="-120" yWindow="-120" windowWidth="20730" windowHeight="11040" xr2:uid="{D3236314-3D6C-4523-93FD-11F1A83EE9F7}"/>
  </bookViews>
  <sheets>
    <sheet name="Cuadro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5" i="2" l="1"/>
  <c r="B34" i="2"/>
  <c r="B33" i="2"/>
  <c r="B32" i="2"/>
  <c r="B31" i="2"/>
  <c r="B30" i="2"/>
  <c r="B29" i="2"/>
  <c r="B28" i="2"/>
  <c r="B27" i="2"/>
  <c r="B26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G35" i="2"/>
  <c r="G34" i="2"/>
  <c r="G33" i="2"/>
  <c r="G32" i="2"/>
  <c r="G31" i="2"/>
  <c r="G30" i="2"/>
  <c r="G29" i="2"/>
  <c r="G28" i="2"/>
  <c r="G26" i="2"/>
  <c r="G27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H35" i="2"/>
  <c r="H34" i="2"/>
  <c r="H33" i="2"/>
  <c r="H32" i="2"/>
  <c r="H31" i="2"/>
  <c r="H30" i="2"/>
  <c r="H29" i="2"/>
  <c r="H28" i="2"/>
  <c r="H27" i="2"/>
  <c r="H26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G9" i="2"/>
  <c r="H9" i="2"/>
  <c r="C35" i="2" l="1"/>
  <c r="C34" i="2"/>
  <c r="C33" i="2"/>
  <c r="C32" i="2"/>
  <c r="C31" i="2"/>
  <c r="C30" i="2"/>
  <c r="C29" i="2"/>
  <c r="C28" i="2"/>
  <c r="C27" i="2"/>
  <c r="C26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D35" i="2"/>
  <c r="D34" i="2"/>
  <c r="D33" i="2"/>
  <c r="D32" i="2"/>
  <c r="D31" i="2"/>
  <c r="D30" i="2"/>
  <c r="D29" i="2"/>
  <c r="D28" i="2"/>
  <c r="D27" i="2"/>
  <c r="D26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E35" i="2"/>
  <c r="E34" i="2"/>
  <c r="E33" i="2"/>
  <c r="E32" i="2"/>
  <c r="E31" i="2"/>
  <c r="E30" i="2"/>
  <c r="E29" i="2"/>
  <c r="E28" i="2"/>
  <c r="E27" i="2"/>
  <c r="E26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F35" i="2"/>
  <c r="F34" i="2"/>
  <c r="F33" i="2"/>
  <c r="F32" i="2"/>
  <c r="F31" i="2"/>
  <c r="F30" i="2"/>
  <c r="F29" i="2"/>
  <c r="F28" i="2"/>
  <c r="F27" i="2"/>
  <c r="F26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</calcChain>
</file>

<file path=xl/sharedStrings.xml><?xml version="1.0" encoding="utf-8"?>
<sst xmlns="http://schemas.openxmlformats.org/spreadsheetml/2006/main" count="44" uniqueCount="44">
  <si>
    <t>T</t>
  </si>
  <si>
    <t>PERÚ: Producto Bruto Interno</t>
  </si>
  <si>
    <t>por Años, según Departamentos</t>
  </si>
  <si>
    <t>Valores a precios constantes de 2007</t>
  </si>
  <si>
    <t>(Miles de soles)</t>
  </si>
  <si>
    <t>Departamentos</t>
  </si>
  <si>
    <t>2022P/</t>
  </si>
  <si>
    <t>2023P/</t>
  </si>
  <si>
    <t>2024E/</t>
  </si>
  <si>
    <t>Amazonas</t>
  </si>
  <si>
    <t>Áncash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</si>
  <si>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</si>
  <si>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</si>
  <si>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</si>
  <si>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</si>
  <si>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</si>
  <si>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</si>
  <si>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</si>
  <si>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</si>
  <si>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</si>
  <si>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</si>
  <si>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</si>
  <si>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</si>
  <si>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Prov. Const. del Callao</t>
  </si>
  <si>
    <t>Región Lima</t>
  </si>
  <si>
    <t>Provincia de 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</si>
  <si>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</si>
  <si>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</si>
  <si>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</si>
  <si>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</si>
  <si>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</si>
  <si>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</si>
  <si>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</si>
  <si>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</si>
  <si>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</si>
  <si>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</si>
  <si>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Valor Agregado Bruto</t>
  </si>
  <si>
    <t>Impuestos a los Productos</t>
  </si>
  <si>
    <t>Derechos de Importación</t>
  </si>
  <si>
    <t>Producto Bruto Interno</t>
  </si>
  <si>
    <t>Fuente: Instituto Nacional de Estadística e Informática</t>
  </si>
  <si>
    <t>Con información disponible al 15 de Noviembre del 2025</t>
  </si>
  <si>
    <t>Cuadro N° 1</t>
  </si>
  <si>
    <t>Factor_conversion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</si>
</sst>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\ ###\ ###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indexed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E7FF"/>
        <bgColor indexed="64"/>
      </patternFill>
    </fill>
  </fills>
  <borders count="8">
    <border>
      <left/>
      <right/>
      <top/>
      <bottom/>
      <diagonal/>
    </border>
    <border>
      <left/>
      <right style="thick">
        <color rgb="FF0070C0"/>
      </right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ck">
        <color rgb="FF0070C0"/>
      </right>
      <top/>
      <bottom/>
      <diagonal/>
    </border>
    <border>
      <left/>
      <right style="thick">
        <color rgb="FF0070C0"/>
      </right>
      <top/>
      <bottom style="thin">
        <color rgb="FF0070C0"/>
      </bottom>
      <diagonal/>
    </border>
    <border>
      <left style="thick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/>
      <top style="thin">
        <color rgb="FF0070C0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4" fillId="0" borderId="0" xfId="1" applyFont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8" fillId="0" borderId="0" xfId="0" applyFont="1"/>
    <xf numFmtId="0" fontId="4" fillId="0" borderId="0" xfId="0" applyFont="1" applyAlignment="1">
      <alignment vertical="center"/>
    </xf>
    <xf numFmtId="0" fontId="8" fillId="0" borderId="0" xfId="1" applyFont="1" applyAlignment="1" applyProtection="1">
      <alignment vertical="top"/>
      <protection locked="0"/>
    </xf>
    <xf numFmtId="164" fontId="5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2" borderId="1" xfId="0" applyFont="1" applyFill="1" applyBorder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0" fontId="10" fillId="0" borderId="3" xfId="0" applyFont="1" applyBorder="1" applyAlignment="1">
      <alignment vertical="center"/>
    </xf>
    <xf numFmtId="0" fontId="13" fillId="0" borderId="3" xfId="1" applyFont="1" applyBorder="1" applyAlignment="1">
      <alignment vertical="center"/>
    </xf>
    <xf numFmtId="165" fontId="13" fillId="0" borderId="0" xfId="0" applyNumberFormat="1" applyFont="1" applyAlignment="1">
      <alignment vertical="center"/>
    </xf>
    <xf numFmtId="1" fontId="13" fillId="0" borderId="0" xfId="0" applyNumberFormat="1" applyFont="1" applyAlignment="1">
      <alignment vertical="center"/>
    </xf>
    <xf numFmtId="3" fontId="13" fillId="0" borderId="0" xfId="0" applyNumberFormat="1" applyFont="1" applyAlignment="1">
      <alignment vertical="center"/>
    </xf>
    <xf numFmtId="0" fontId="13" fillId="0" borderId="3" xfId="1" applyFont="1" applyBorder="1" applyAlignment="1">
      <alignment horizontal="left" vertical="center" indent="1"/>
    </xf>
    <xf numFmtId="0" fontId="13" fillId="0" borderId="0" xfId="0" applyFont="1" applyAlignment="1">
      <alignment vertical="center"/>
    </xf>
    <xf numFmtId="0" fontId="14" fillId="0" borderId="3" xfId="1" applyFont="1" applyBorder="1" applyAlignment="1">
      <alignment vertical="center"/>
    </xf>
    <xf numFmtId="165" fontId="14" fillId="0" borderId="0" xfId="0" applyNumberFormat="1" applyFont="1" applyAlignment="1">
      <alignment vertical="center"/>
    </xf>
    <xf numFmtId="3" fontId="14" fillId="0" borderId="0" xfId="0" applyNumberFormat="1" applyFont="1" applyAlignment="1">
      <alignment vertical="center"/>
    </xf>
    <xf numFmtId="0" fontId="13" fillId="0" borderId="3" xfId="0" applyFont="1" applyBorder="1" applyAlignment="1">
      <alignment vertical="center"/>
    </xf>
    <xf numFmtId="0" fontId="14" fillId="2" borderId="3" xfId="1" applyFont="1" applyFill="1" applyBorder="1" applyAlignment="1">
      <alignment vertical="center"/>
    </xf>
    <xf numFmtId="165" fontId="14" fillId="2" borderId="0" xfId="0" applyNumberFormat="1" applyFont="1" applyFill="1" applyAlignment="1">
      <alignment vertical="center"/>
    </xf>
    <xf numFmtId="3" fontId="14" fillId="2" borderId="0" xfId="0" applyNumberFormat="1" applyFont="1" applyFill="1" applyAlignment="1">
      <alignment vertical="center"/>
    </xf>
    <xf numFmtId="0" fontId="10" fillId="0" borderId="4" xfId="0" applyFont="1" applyBorder="1" applyAlignment="1">
      <alignment vertical="center"/>
    </xf>
    <xf numFmtId="3" fontId="10" fillId="0" borderId="5" xfId="0" applyNumberFormat="1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5" fillId="0" borderId="0" xfId="0" applyFont="1" applyAlignment="1">
      <alignment vertical="center"/>
    </xf>
    <xf numFmtId="3" fontId="10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1" fontId="10" fillId="0" borderId="0" xfId="0" applyNumberFormat="1" applyFont="1" applyAlignment="1">
      <alignment vertical="center"/>
    </xf>
    <xf numFmtId="0" fontId="13" fillId="0" borderId="0" xfId="1" applyFont="1" applyAlignment="1">
      <alignment vertical="center"/>
    </xf>
    <xf numFmtId="0" fontId="14" fillId="0" borderId="0" xfId="1" applyFont="1" applyAlignment="1">
      <alignment vertical="center"/>
    </xf>
    <xf numFmtId="0" fontId="14" fillId="2" borderId="0" xfId="1" applyFont="1" applyFill="1" applyAlignment="1">
      <alignment vertical="center"/>
    </xf>
    <xf numFmtId="0" fontId="12" fillId="2" borderId="7" xfId="0" applyFont="1" applyFill="1" applyBorder="1" applyAlignment="1">
      <alignment horizontal="center" vertical="center"/>
    </xf>
    <xf numFmtId="165" fontId="14" fillId="0" borderId="0" xfId="1" applyNumberFormat="1" applyFont="1" applyAlignment="1">
      <alignment vertical="center"/>
    </xf>
    <xf numFmtId="0" fontId="13" fillId="0" borderId="0" xfId="1" applyFont="1" applyAlignment="1">
      <alignment horizontal="center" vertical="center"/>
    </xf>
    <xf numFmtId="1" fontId="13" fillId="0" borderId="0" xfId="1" applyNumberFormat="1" applyFont="1" applyAlignment="1">
      <alignment horizontal="center" vertical="center"/>
    </xf>
  </cellXfs>
  <cellStyles count="3">
    <cellStyle name="Normal" xfId="0" builtinId="0"/>
    <cellStyle name="Normal_actividad AGRICUL" xfId="1" xr:uid="{D76DBC50-81D9-4FCC-A170-AABDAD538DBD}"/>
    <cellStyle name="Normal_VBP-CI-VA_Departamental" xfId="2" xr:uid="{444094A0-2A56-4267-AC38-DE7D7DE088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DF8C-A39F-46D7-AD5F-59B9F6B58237}">
  <dimension ref="A1:Z46"/>
  <sheetViews>
    <sheetView showGridLines="0" tabSelected="1" topLeftCell="A2" zoomScale="52" zoomScaleNormal="85" workbookViewId="0">
      <selection activeCell="H35" sqref="H35"/>
    </sheetView>
  </sheetViews>
  <sheetFormatPr baseColWidth="10" defaultRowHeight="15" x14ac:dyDescent="0.25"/>
  <cols>
    <col min="1" max="1" width="22.7109375" customWidth="1"/>
    <col min="2" max="7" width="9" bestFit="1" customWidth="1"/>
    <col min="8" max="8" width="22.7109375" customWidth="1"/>
    <col min="9" max="26" width="10.7109375" customWidth="1"/>
  </cols>
  <sheetData>
    <row r="1" spans="1:26" ht="16.5" customHeight="1" x14ac:dyDescent="0.25">
      <c r="A1" s="1" t="s">
        <v>42</v>
      </c>
      <c r="B1" s="1"/>
      <c r="C1" s="1"/>
      <c r="D1" s="1"/>
      <c r="E1" s="1"/>
      <c r="F1" s="1"/>
      <c r="G1" s="1"/>
      <c r="H1" s="1"/>
      <c r="I1" s="2"/>
      <c r="J1" s="3"/>
      <c r="K1" s="3"/>
      <c r="L1" s="3"/>
      <c r="M1" s="3"/>
      <c r="N1" s="3"/>
      <c r="O1" s="3"/>
      <c r="P1" s="4"/>
      <c r="Q1" s="4"/>
      <c r="R1" s="4"/>
      <c r="S1" s="5">
        <v>2024</v>
      </c>
      <c r="T1" s="5" t="s">
        <v>0</v>
      </c>
      <c r="U1" s="4"/>
      <c r="V1" s="4"/>
      <c r="W1" s="4"/>
      <c r="X1" s="4"/>
      <c r="Y1" s="4"/>
      <c r="Z1" s="4"/>
    </row>
    <row r="2" spans="1:26" ht="16.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3"/>
      <c r="J2" s="3"/>
      <c r="K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 x14ac:dyDescent="0.25">
      <c r="A3" s="6" t="s">
        <v>2</v>
      </c>
      <c r="B3" s="6"/>
      <c r="C3" s="6"/>
      <c r="D3" s="6"/>
      <c r="E3" s="6"/>
      <c r="F3" s="6"/>
      <c r="G3" s="6"/>
      <c r="H3" s="6"/>
      <c r="I3" s="7"/>
      <c r="J3" s="7"/>
      <c r="K3" s="7"/>
      <c r="L3" s="7"/>
      <c r="M3" s="8"/>
      <c r="N3" s="7"/>
      <c r="O3" s="7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1" customHeight="1" x14ac:dyDescent="0.25">
      <c r="A4" s="9" t="s">
        <v>3</v>
      </c>
      <c r="B4" s="9"/>
      <c r="C4" s="9"/>
      <c r="D4" s="9"/>
      <c r="E4" s="9"/>
      <c r="F4" s="9"/>
      <c r="G4" s="9"/>
      <c r="H4" s="9"/>
      <c r="I4" s="10"/>
      <c r="J4" s="10"/>
      <c r="K4" s="10"/>
      <c r="L4" s="10"/>
      <c r="M4" s="10"/>
      <c r="N4" s="10"/>
      <c r="O4" s="10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1" customHeight="1" x14ac:dyDescent="0.25">
      <c r="A5" s="11" t="s">
        <v>4</v>
      </c>
      <c r="B5" s="11"/>
      <c r="C5" s="11"/>
      <c r="D5" s="11"/>
      <c r="E5" s="11"/>
      <c r="F5" s="11"/>
      <c r="G5" s="11"/>
      <c r="H5" s="11"/>
      <c r="I5" s="3"/>
      <c r="J5" s="3"/>
      <c r="K5" s="3"/>
      <c r="L5" s="3"/>
      <c r="M5" s="3"/>
      <c r="N5" s="3"/>
      <c r="O5" s="3"/>
      <c r="P5" s="4"/>
      <c r="Q5" s="4"/>
      <c r="R5" s="4"/>
      <c r="S5" s="4"/>
      <c r="T5" s="12"/>
      <c r="U5" s="4"/>
      <c r="V5" s="4"/>
      <c r="W5" s="4"/>
      <c r="X5" s="4"/>
      <c r="Y5" s="4"/>
      <c r="Z5" s="4"/>
    </row>
    <row r="6" spans="1:26" ht="16.5" customHeight="1" x14ac:dyDescent="0.25">
      <c r="A6" s="13">
        <v>2023</v>
      </c>
      <c r="B6" s="13"/>
      <c r="C6" s="13"/>
      <c r="D6" s="13"/>
      <c r="E6" s="13"/>
      <c r="F6" s="13"/>
      <c r="G6" s="13"/>
      <c r="H6" s="13"/>
      <c r="I6" s="14"/>
      <c r="J6" s="14"/>
      <c r="K6" s="14"/>
      <c r="L6" s="14"/>
      <c r="M6" s="14"/>
      <c r="N6" s="14"/>
      <c r="O6" s="15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27" customHeight="1" x14ac:dyDescent="0.25">
      <c r="A7" s="16" t="s">
        <v>5</v>
      </c>
      <c r="B7" s="42">
        <v>2001</v>
      </c>
      <c r="C7" s="42">
        <v>2002</v>
      </c>
      <c r="D7" s="42">
        <v>2003</v>
      </c>
      <c r="E7" s="42">
        <v>2004</v>
      </c>
      <c r="F7" s="42">
        <v>2005</v>
      </c>
      <c r="G7" s="42">
        <v>2006</v>
      </c>
      <c r="H7" s="42" t="s">
        <v>43</v>
      </c>
      <c r="I7" s="17">
        <v>2007</v>
      </c>
      <c r="J7" s="17">
        <v>2008</v>
      </c>
      <c r="K7" s="17">
        <v>2009</v>
      </c>
      <c r="L7" s="17">
        <v>2010</v>
      </c>
      <c r="M7" s="17">
        <v>2011</v>
      </c>
      <c r="N7" s="17">
        <v>2012</v>
      </c>
      <c r="O7" s="17">
        <v>2013</v>
      </c>
      <c r="P7" s="17">
        <v>2014</v>
      </c>
      <c r="Q7" s="17">
        <v>2015</v>
      </c>
      <c r="R7" s="17">
        <v>2016</v>
      </c>
      <c r="S7" s="17">
        <v>2017</v>
      </c>
      <c r="T7" s="17">
        <v>2018</v>
      </c>
      <c r="U7" s="17">
        <v>2019</v>
      </c>
      <c r="V7" s="17">
        <v>2020</v>
      </c>
      <c r="W7" s="17">
        <v>2021</v>
      </c>
      <c r="X7" s="17" t="s">
        <v>6</v>
      </c>
      <c r="Y7" s="17" t="s">
        <v>7</v>
      </c>
      <c r="Z7" s="17" t="s">
        <v>8</v>
      </c>
    </row>
    <row r="8" spans="1:26" ht="6" customHeight="1" x14ac:dyDescent="0.25">
      <c r="A8" s="18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21" customHeight="1" x14ac:dyDescent="0.25">
      <c r="A9" s="19" t="s">
        <v>9</v>
      </c>
      <c r="B9" s="45">
        <f>$H$9*735589110</f>
        <v>1278016.1275795191</v>
      </c>
      <c r="C9" s="45">
        <f>$H$9*1910</f>
        <v>3.3184433680331149</v>
      </c>
      <c r="D9" s="45">
        <f>$H$9*1996</f>
        <v>3.4678601898398416</v>
      </c>
      <c r="E9" s="45">
        <f>$H$9*2081</f>
        <v>3.6155396067418391</v>
      </c>
      <c r="F9" s="45">
        <f>$H$9*2212</f>
        <v>3.8431396492613876</v>
      </c>
      <c r="G9" s="45">
        <f>$H$9*957962133</f>
        <v>1664368.1084192183</v>
      </c>
      <c r="H9" s="44">
        <f>I9/1023811430</f>
        <v>1.7374049047293796E-3</v>
      </c>
      <c r="I9" s="20">
        <v>1778775</v>
      </c>
      <c r="J9" s="20">
        <v>1930947</v>
      </c>
      <c r="K9" s="20">
        <v>2058318</v>
      </c>
      <c r="L9" s="20">
        <v>2210682</v>
      </c>
      <c r="M9" s="20">
        <v>2287107</v>
      </c>
      <c r="N9" s="20">
        <v>2551601</v>
      </c>
      <c r="O9" s="20">
        <v>2682266</v>
      </c>
      <c r="P9" s="20">
        <v>2824603</v>
      </c>
      <c r="Q9" s="20">
        <v>2782128</v>
      </c>
      <c r="R9" s="20">
        <v>2784366</v>
      </c>
      <c r="S9" s="20">
        <v>2940822</v>
      </c>
      <c r="T9" s="20">
        <v>3118373</v>
      </c>
      <c r="U9" s="20">
        <v>3168990</v>
      </c>
      <c r="V9" s="20">
        <v>3030350</v>
      </c>
      <c r="W9" s="20">
        <v>3122772</v>
      </c>
      <c r="X9" s="20">
        <v>3064074</v>
      </c>
      <c r="Y9" s="21">
        <v>3124439</v>
      </c>
      <c r="Z9" s="21">
        <v>3103841</v>
      </c>
    </row>
    <row r="10" spans="1:26" ht="21" customHeight="1" x14ac:dyDescent="0.25">
      <c r="A10" s="19" t="s">
        <v>10</v>
      </c>
      <c r="B10" s="45">
        <f>$H$10*4397152881</f>
        <v>11625612.229365688</v>
      </c>
      <c r="C10" s="45">
        <f>$H$10*4703</f>
        <v>12.434240017206905</v>
      </c>
      <c r="D10" s="45">
        <f>$H$10*4772</f>
        <v>12.616668799088103</v>
      </c>
      <c r="E10" s="45">
        <f>$H$10*4876</f>
        <v>12.891633919604692</v>
      </c>
      <c r="F10" s="45">
        <f>$H$10*4999</f>
        <v>13.21683305252335</v>
      </c>
      <c r="G10" s="45">
        <f>$H$10*5577050367</f>
        <v>14745137.752781171</v>
      </c>
      <c r="H10" s="44">
        <f>I10/5927908896</f>
        <v>2.6438953895825865E-3</v>
      </c>
      <c r="I10" s="20">
        <v>15672771</v>
      </c>
      <c r="J10" s="20">
        <v>16854588</v>
      </c>
      <c r="K10" s="20">
        <v>16400826</v>
      </c>
      <c r="L10" s="20">
        <v>16013215</v>
      </c>
      <c r="M10" s="20">
        <v>16155687</v>
      </c>
      <c r="N10" s="20">
        <v>17666947</v>
      </c>
      <c r="O10" s="20">
        <v>18478843</v>
      </c>
      <c r="P10" s="20">
        <v>16028265</v>
      </c>
      <c r="Q10" s="20">
        <v>17584621</v>
      </c>
      <c r="R10" s="20">
        <v>18365696</v>
      </c>
      <c r="S10" s="20">
        <v>19317454</v>
      </c>
      <c r="T10" s="20">
        <v>20712339</v>
      </c>
      <c r="U10" s="20">
        <v>20059093</v>
      </c>
      <c r="V10" s="20">
        <v>18758235</v>
      </c>
      <c r="W10" s="22">
        <v>21466272</v>
      </c>
      <c r="X10" s="22">
        <v>21721407</v>
      </c>
      <c r="Y10" s="22">
        <v>20931135</v>
      </c>
      <c r="Z10" s="22">
        <v>21386810</v>
      </c>
    </row>
    <row r="11" spans="1:26" ht="21" customHeight="1" x14ac:dyDescent="0.25">
      <c r="A11" s="19" t="s">
        <v>11</v>
      </c>
      <c r="B11" s="45">
        <f>$H$11*530856960</f>
        <v>1346379.6434846863</v>
      </c>
      <c r="C11" s="45">
        <f>$H$11*1278</f>
        <v>3.2413122818874394</v>
      </c>
      <c r="D11" s="45">
        <f>$H$11*1334</f>
        <v>3.3833416150530864</v>
      </c>
      <c r="E11" s="45">
        <f>$H$11*1400</f>
        <v>3.55073332914117</v>
      </c>
      <c r="F11" s="45">
        <f>$H$11*1494</f>
        <v>3.7891397098120772</v>
      </c>
      <c r="G11" s="45">
        <f>$H$11*707005967</f>
        <v>1793135.4649489874</v>
      </c>
      <c r="H11" s="44">
        <f>I11/719246748</f>
        <v>2.5362380922436928E-3</v>
      </c>
      <c r="I11" s="20">
        <v>1824181</v>
      </c>
      <c r="J11" s="20">
        <v>1688564</v>
      </c>
      <c r="K11" s="20">
        <v>1623801</v>
      </c>
      <c r="L11" s="20">
        <v>1765744</v>
      </c>
      <c r="M11" s="20">
        <v>1869417</v>
      </c>
      <c r="N11" s="20">
        <v>2110908</v>
      </c>
      <c r="O11" s="20">
        <v>2342674</v>
      </c>
      <c r="P11" s="20">
        <v>2437434</v>
      </c>
      <c r="Q11" s="20">
        <v>2630345</v>
      </c>
      <c r="R11" s="20">
        <v>6343065</v>
      </c>
      <c r="S11" s="20">
        <v>7718535</v>
      </c>
      <c r="T11" s="20">
        <v>7131314</v>
      </c>
      <c r="U11" s="20">
        <v>7170478</v>
      </c>
      <c r="V11" s="20">
        <v>6448415</v>
      </c>
      <c r="W11" s="22">
        <v>6586239</v>
      </c>
      <c r="X11" s="22">
        <v>6290806</v>
      </c>
      <c r="Y11" s="22">
        <v>6689337</v>
      </c>
      <c r="Z11" s="22">
        <v>7219959</v>
      </c>
    </row>
    <row r="12" spans="1:26" ht="21" customHeight="1" x14ac:dyDescent="0.25">
      <c r="A12" s="19" t="s">
        <v>12</v>
      </c>
      <c r="B12" s="45">
        <f>$H$12*5986928642</f>
        <v>11070397.437338712</v>
      </c>
      <c r="C12" s="45">
        <f>$H$12*5766</f>
        <v>10.661879477883881</v>
      </c>
      <c r="D12" s="45">
        <f>$H$12*5895</f>
        <v>10.900412681603447</v>
      </c>
      <c r="E12" s="45">
        <f>$H$12*6143</f>
        <v>11.358988143017807</v>
      </c>
      <c r="F12" s="45">
        <f>$H$12*6488</f>
        <v>11.996925780872461</v>
      </c>
      <c r="G12" s="45">
        <f>$H$12*7947730674</f>
        <v>14696105.891236354</v>
      </c>
      <c r="H12" s="44">
        <f>I12/9189270780</f>
        <v>1.8490946024772598E-3</v>
      </c>
      <c r="I12" s="20">
        <v>16991831</v>
      </c>
      <c r="J12" s="20">
        <v>18885807</v>
      </c>
      <c r="K12" s="20">
        <v>19032479</v>
      </c>
      <c r="L12" s="20">
        <v>20158733</v>
      </c>
      <c r="M12" s="20">
        <v>21038813</v>
      </c>
      <c r="N12" s="20">
        <v>22033542</v>
      </c>
      <c r="O12" s="20">
        <v>22629103</v>
      </c>
      <c r="P12" s="20">
        <v>22773308</v>
      </c>
      <c r="Q12" s="20">
        <v>23524592</v>
      </c>
      <c r="R12" s="20">
        <v>29623112</v>
      </c>
      <c r="S12" s="20">
        <v>30724797</v>
      </c>
      <c r="T12" s="20">
        <v>31506818</v>
      </c>
      <c r="U12" s="20">
        <v>31404343</v>
      </c>
      <c r="V12" s="20">
        <v>26489345</v>
      </c>
      <c r="W12" s="22">
        <v>29970944</v>
      </c>
      <c r="X12" s="22">
        <v>31539363</v>
      </c>
      <c r="Y12" s="22">
        <v>31374274</v>
      </c>
      <c r="Z12" s="22">
        <v>31636176</v>
      </c>
    </row>
    <row r="13" spans="1:26" ht="21" customHeight="1" x14ac:dyDescent="0.25">
      <c r="A13" s="19" t="s">
        <v>13</v>
      </c>
      <c r="B13" s="45">
        <f>$H$13*1096163796</f>
        <v>2065151.6973819996</v>
      </c>
      <c r="C13" s="45">
        <f>$H$13*1870</f>
        <v>3.5230443554115878</v>
      </c>
      <c r="D13" s="45">
        <f>$H$13*1942</f>
        <v>3.6586909829996275</v>
      </c>
      <c r="E13" s="45">
        <f>$H$13*1900</f>
        <v>3.579563783573271</v>
      </c>
      <c r="F13" s="45">
        <f>$H$13*2045</f>
        <v>3.8527410196880729</v>
      </c>
      <c r="G13" s="45">
        <f>$H$13*1419913176</f>
        <v>2675089.3582253158</v>
      </c>
      <c r="H13" s="44">
        <f>I13/1579461840</f>
        <v>1.8839809387227742E-3</v>
      </c>
      <c r="I13" s="20">
        <v>2975676</v>
      </c>
      <c r="J13" s="20">
        <v>3401175</v>
      </c>
      <c r="K13" s="20">
        <v>3750401</v>
      </c>
      <c r="L13" s="20">
        <v>3922514</v>
      </c>
      <c r="M13" s="20">
        <v>4111349</v>
      </c>
      <c r="N13" s="20">
        <v>4482971</v>
      </c>
      <c r="O13" s="20">
        <v>4906299</v>
      </c>
      <c r="P13" s="20">
        <v>4879476</v>
      </c>
      <c r="Q13" s="20">
        <v>5162331</v>
      </c>
      <c r="R13" s="20">
        <v>5177917</v>
      </c>
      <c r="S13" s="20">
        <v>5451854</v>
      </c>
      <c r="T13" s="20">
        <v>5760202</v>
      </c>
      <c r="U13" s="20">
        <v>5931518</v>
      </c>
      <c r="V13" s="20">
        <v>5193538</v>
      </c>
      <c r="W13" s="22">
        <v>5796822</v>
      </c>
      <c r="X13" s="22">
        <v>5996577</v>
      </c>
      <c r="Y13" s="22">
        <v>5913691</v>
      </c>
      <c r="Z13" s="22">
        <v>6212319</v>
      </c>
    </row>
    <row r="14" spans="1:26" ht="21" customHeight="1" x14ac:dyDescent="0.25">
      <c r="A14" s="19" t="s">
        <v>14</v>
      </c>
      <c r="B14" s="45">
        <f>$H$14*3590610561</f>
        <v>7087402.9869478792</v>
      </c>
      <c r="C14" s="45">
        <f>$H$14*2731</f>
        <v>5.3906424070573715</v>
      </c>
      <c r="D14" s="45">
        <f>$H$14*2947</f>
        <v>5.8169985989007964</v>
      </c>
      <c r="E14" s="45">
        <f>$H$14*2968</f>
        <v>5.8584498953300175</v>
      </c>
      <c r="F14" s="45">
        <f>$H$14*3165</f>
        <v>6.2473025332612897</v>
      </c>
      <c r="G14" s="45">
        <f>$H$14*4504511000</f>
        <v>8891324.7966519259</v>
      </c>
      <c r="H14" s="44">
        <f>I14/4133754400</f>
        <v>1.9738712585343726E-3</v>
      </c>
      <c r="I14" s="20">
        <v>8159499</v>
      </c>
      <c r="J14" s="20">
        <v>9319769</v>
      </c>
      <c r="K14" s="20">
        <v>10050467</v>
      </c>
      <c r="L14" s="20">
        <v>10140905</v>
      </c>
      <c r="M14" s="20">
        <v>10595497</v>
      </c>
      <c r="N14" s="20">
        <v>11270583</v>
      </c>
      <c r="O14" s="20">
        <v>11086928</v>
      </c>
      <c r="P14" s="20">
        <v>10855588</v>
      </c>
      <c r="Q14" s="20">
        <v>10798612</v>
      </c>
      <c r="R14" s="20">
        <v>10581305</v>
      </c>
      <c r="S14" s="20">
        <v>10901682</v>
      </c>
      <c r="T14" s="20">
        <v>11209419</v>
      </c>
      <c r="U14" s="20">
        <v>11479756</v>
      </c>
      <c r="V14" s="20">
        <v>10310549</v>
      </c>
      <c r="W14" s="22">
        <v>11488958</v>
      </c>
      <c r="X14" s="22">
        <v>11904977</v>
      </c>
      <c r="Y14" s="22">
        <v>11885309</v>
      </c>
      <c r="Z14" s="22">
        <v>12001887</v>
      </c>
    </row>
    <row r="15" spans="1:26" ht="21" customHeight="1" x14ac:dyDescent="0.25">
      <c r="A15" s="19" t="s">
        <v>15</v>
      </c>
      <c r="B15" s="45">
        <f>$H$15*2621873880</f>
        <v>7053117.2541522915</v>
      </c>
      <c r="C15" s="45">
        <f>$H$15*2086</f>
        <v>5.6115600008043405</v>
      </c>
      <c r="D15" s="45">
        <f>$H$15*2195</f>
        <v>5.9047814965318919</v>
      </c>
      <c r="E15" s="45">
        <f>$H$15*2565</f>
        <v>6.9001205187263341</v>
      </c>
      <c r="F15" s="45">
        <f>$H$15*2768</f>
        <v>7.4462119282005821</v>
      </c>
      <c r="G15" s="45">
        <f>$H$15*3721330315</f>
        <v>10010771.018904418</v>
      </c>
      <c r="H15" s="44">
        <f>I15/4056987780</f>
        <v>2.6901054653903837E-3</v>
      </c>
      <c r="I15" s="20">
        <v>10913725</v>
      </c>
      <c r="J15" s="20">
        <v>11663686</v>
      </c>
      <c r="K15" s="20">
        <v>13631820</v>
      </c>
      <c r="L15" s="20">
        <v>15405459</v>
      </c>
      <c r="M15" s="20">
        <v>17384466</v>
      </c>
      <c r="N15" s="20">
        <v>17711332</v>
      </c>
      <c r="O15" s="20">
        <v>20708699</v>
      </c>
      <c r="P15" s="20">
        <v>20723581</v>
      </c>
      <c r="Q15" s="20">
        <v>21071852</v>
      </c>
      <c r="R15" s="20">
        <v>21898270</v>
      </c>
      <c r="S15" s="20">
        <v>21576717</v>
      </c>
      <c r="T15" s="20">
        <v>21700735</v>
      </c>
      <c r="U15" s="20">
        <v>22006880</v>
      </c>
      <c r="V15" s="20">
        <v>19284962</v>
      </c>
      <c r="W15" s="22">
        <v>20592202</v>
      </c>
      <c r="X15" s="22">
        <v>21489757</v>
      </c>
      <c r="Y15" s="22">
        <v>22507388</v>
      </c>
      <c r="Z15" s="22">
        <v>22767865</v>
      </c>
    </row>
    <row r="16" spans="1:26" ht="21" customHeight="1" x14ac:dyDescent="0.25">
      <c r="A16" s="19" t="s">
        <v>16</v>
      </c>
      <c r="B16" s="45">
        <f>$H$16*1244165400</f>
        <v>2289899.2576546143</v>
      </c>
      <c r="C16" s="45">
        <f>$H$16*2632</f>
        <v>4.8442231604792614</v>
      </c>
      <c r="D16" s="45">
        <f>$H$16*2683</f>
        <v>4.9380891867651444</v>
      </c>
      <c r="E16" s="45">
        <f>$H$16*2697</f>
        <v>4.9638563312357782</v>
      </c>
      <c r="F16" s="45">
        <f>$H$16*2864</f>
        <v>5.2712215545640602</v>
      </c>
      <c r="G16" s="45">
        <f>$H$16*1411694306</f>
        <v>2598237.937933852</v>
      </c>
      <c r="H16" s="44">
        <f>I16/1344887325</f>
        <v>1.8405103193310265E-3</v>
      </c>
      <c r="I16" s="20">
        <v>2475279</v>
      </c>
      <c r="J16" s="20">
        <v>2613850</v>
      </c>
      <c r="K16" s="20">
        <v>2696095</v>
      </c>
      <c r="L16" s="20">
        <v>2817536</v>
      </c>
      <c r="M16" s="20">
        <v>2909215</v>
      </c>
      <c r="N16" s="20">
        <v>3143661</v>
      </c>
      <c r="O16" s="20">
        <v>3174927</v>
      </c>
      <c r="P16" s="20">
        <v>3281748</v>
      </c>
      <c r="Q16" s="20">
        <v>3265820</v>
      </c>
      <c r="R16" s="20">
        <v>3212948</v>
      </c>
      <c r="S16" s="20">
        <v>3354985</v>
      </c>
      <c r="T16" s="20">
        <v>3525421</v>
      </c>
      <c r="U16" s="20">
        <v>3527812</v>
      </c>
      <c r="V16" s="20">
        <v>3279521</v>
      </c>
      <c r="W16" s="22">
        <v>3493040</v>
      </c>
      <c r="X16" s="22">
        <v>3433141</v>
      </c>
      <c r="Y16" s="22">
        <v>3513289</v>
      </c>
      <c r="Z16" s="22">
        <v>3912627</v>
      </c>
    </row>
    <row r="17" spans="1:26" ht="21" customHeight="1" x14ac:dyDescent="0.25">
      <c r="A17" s="19" t="s">
        <v>17</v>
      </c>
      <c r="B17" s="45">
        <f>$H$17*1297533636</f>
        <v>2722680.366532601</v>
      </c>
      <c r="C17" s="45">
        <f>$H$17*1694</f>
        <v>3.5546057635350783</v>
      </c>
      <c r="D17" s="45">
        <f>$H$17*1833</f>
        <v>3.8462764843918524</v>
      </c>
      <c r="E17" s="45">
        <f>$H$17*1866</f>
        <v>3.9155220512139643</v>
      </c>
      <c r="F17" s="45">
        <f>$H$17*1890</f>
        <v>3.9658824634482279</v>
      </c>
      <c r="G17" s="45">
        <f>$H$17*1508303790</f>
        <v>3164950.0266208989</v>
      </c>
      <c r="H17" s="44">
        <f>I17/1525417696</f>
        <v>2.0983505097609671E-3</v>
      </c>
      <c r="I17" s="20">
        <v>3200861</v>
      </c>
      <c r="J17" s="20">
        <v>3464132</v>
      </c>
      <c r="K17" s="20">
        <v>3499798</v>
      </c>
      <c r="L17" s="20">
        <v>3739082</v>
      </c>
      <c r="M17" s="20">
        <v>3955589</v>
      </c>
      <c r="N17" s="20">
        <v>4380310</v>
      </c>
      <c r="O17" s="20">
        <v>4642728</v>
      </c>
      <c r="P17" s="20">
        <v>4799787</v>
      </c>
      <c r="Q17" s="20">
        <v>5114983</v>
      </c>
      <c r="R17" s="20">
        <v>5345445</v>
      </c>
      <c r="S17" s="20">
        <v>5832171</v>
      </c>
      <c r="T17" s="20">
        <v>6010056</v>
      </c>
      <c r="U17" s="20">
        <v>6081484</v>
      </c>
      <c r="V17" s="20">
        <v>5437276</v>
      </c>
      <c r="W17" s="22">
        <v>5972022</v>
      </c>
      <c r="X17" s="22">
        <v>6225057</v>
      </c>
      <c r="Y17" s="22">
        <v>6600610</v>
      </c>
      <c r="Z17" s="22">
        <v>6924290</v>
      </c>
    </row>
    <row r="18" spans="1:26" ht="21" customHeight="1" x14ac:dyDescent="0.25">
      <c r="A18" s="19" t="s">
        <v>18</v>
      </c>
      <c r="B18" s="45">
        <f>$H$18*2782220655</f>
        <v>5545231.6272918908</v>
      </c>
      <c r="C18" s="45">
        <f>$H$18*4259</f>
        <v>8.4885939791271383</v>
      </c>
      <c r="D18" s="45">
        <f>$H$18*4343</f>
        <v>8.6560140059519046</v>
      </c>
      <c r="E18" s="45">
        <f>$H$18*4663</f>
        <v>9.2938045843319674</v>
      </c>
      <c r="F18" s="45">
        <f>$H$18*5214</f>
        <v>10.392000236480136</v>
      </c>
      <c r="G18" s="45">
        <f>$H$18*4035389678</f>
        <v>8042917.2397517264</v>
      </c>
      <c r="H18" s="44">
        <f>I18/4412209925</f>
        <v>1.9930955574376939E-3</v>
      </c>
      <c r="I18" s="20">
        <v>8793956</v>
      </c>
      <c r="J18" s="20">
        <v>10415637</v>
      </c>
      <c r="K18" s="20">
        <v>10841974</v>
      </c>
      <c r="L18" s="20">
        <v>11607992</v>
      </c>
      <c r="M18" s="20">
        <v>12883432</v>
      </c>
      <c r="N18" s="20">
        <v>13067505</v>
      </c>
      <c r="O18" s="20">
        <v>14394675</v>
      </c>
      <c r="P18" s="20">
        <v>14809397</v>
      </c>
      <c r="Q18" s="20">
        <v>15295581</v>
      </c>
      <c r="R18" s="20">
        <v>15325191</v>
      </c>
      <c r="S18" s="20">
        <v>16206741</v>
      </c>
      <c r="T18" s="20">
        <v>16994391</v>
      </c>
      <c r="U18" s="20">
        <v>17656354</v>
      </c>
      <c r="V18" s="20">
        <v>15612472</v>
      </c>
      <c r="W18" s="22">
        <v>19614370</v>
      </c>
      <c r="X18" s="22">
        <v>20877156</v>
      </c>
      <c r="Y18" s="22">
        <v>20766164</v>
      </c>
      <c r="Z18" s="22">
        <v>21439833</v>
      </c>
    </row>
    <row r="19" spans="1:26" ht="21" customHeight="1" x14ac:dyDescent="0.25">
      <c r="A19" s="19" t="s">
        <v>19</v>
      </c>
      <c r="B19" s="45">
        <f>$H$19*4044045555</f>
        <v>7192580.4721825449</v>
      </c>
      <c r="C19" s="45">
        <f>$H$19*3311</f>
        <v>5.8888144605473931</v>
      </c>
      <c r="D19" s="45">
        <f>$H$19*3350</f>
        <v>5.9581783276453537</v>
      </c>
      <c r="E19" s="45">
        <f>$H$19*3527</f>
        <v>6.2729835706284067</v>
      </c>
      <c r="F19" s="45">
        <f>$H$19*3505</f>
        <v>6.2338552353423777</v>
      </c>
      <c r="G19" s="45">
        <f>$H$19*4912840912</f>
        <v>8737785.7459844276</v>
      </c>
      <c r="H19" s="44">
        <f>I19/5195456656</f>
        <v>1.7785606948195086E-3</v>
      </c>
      <c r="I19" s="20">
        <v>9240435</v>
      </c>
      <c r="J19" s="20">
        <v>10023855</v>
      </c>
      <c r="K19" s="20">
        <v>9039077</v>
      </c>
      <c r="L19" s="20">
        <v>9518659</v>
      </c>
      <c r="M19" s="20">
        <v>10009485</v>
      </c>
      <c r="N19" s="20">
        <v>10718558</v>
      </c>
      <c r="O19" s="20">
        <v>11095514</v>
      </c>
      <c r="P19" s="20">
        <v>12391582</v>
      </c>
      <c r="Q19" s="20">
        <v>14412891</v>
      </c>
      <c r="R19" s="20">
        <v>14285221</v>
      </c>
      <c r="S19" s="20">
        <v>14954057</v>
      </c>
      <c r="T19" s="20">
        <v>15459518</v>
      </c>
      <c r="U19" s="20">
        <v>15330366</v>
      </c>
      <c r="V19" s="20">
        <v>13863906</v>
      </c>
      <c r="W19" s="22">
        <v>15946514</v>
      </c>
      <c r="X19" s="22">
        <v>16330313</v>
      </c>
      <c r="Y19" s="22">
        <v>15730063</v>
      </c>
      <c r="Z19" s="22">
        <v>15992658</v>
      </c>
    </row>
    <row r="20" spans="1:26" ht="21" customHeight="1" x14ac:dyDescent="0.25">
      <c r="A20" s="19" t="s">
        <v>20</v>
      </c>
      <c r="B20" s="45">
        <f>$H$20*4905754464</f>
        <v>9416939.5047491081</v>
      </c>
      <c r="C20" s="45">
        <f>$H$20*3316</f>
        <v>6.3652943959789763</v>
      </c>
      <c r="D20" s="45">
        <f>$H$20*3483</f>
        <v>6.6858625998777965</v>
      </c>
      <c r="E20" s="45">
        <f>$H$20*3410</f>
        <v>6.5457339838022639</v>
      </c>
      <c r="F20" s="45">
        <f>$H$20*3697</f>
        <v>7.096650597688261</v>
      </c>
      <c r="G20" s="45">
        <f>$H$20*6930361984</f>
        <v>13303315.530416446</v>
      </c>
      <c r="H20" s="44">
        <f>I20/7614002806</f>
        <v>1.9195700832264704E-3</v>
      </c>
      <c r="I20" s="20">
        <v>14615612</v>
      </c>
      <c r="J20" s="20">
        <v>15653801</v>
      </c>
      <c r="K20" s="20">
        <v>15716171</v>
      </c>
      <c r="L20" s="20">
        <v>16624855</v>
      </c>
      <c r="M20" s="20">
        <v>17378414</v>
      </c>
      <c r="N20" s="20">
        <v>18712792</v>
      </c>
      <c r="O20" s="20">
        <v>19532083</v>
      </c>
      <c r="P20" s="20">
        <v>19821258</v>
      </c>
      <c r="Q20" s="20">
        <v>20274733</v>
      </c>
      <c r="R20" s="20">
        <v>20448345</v>
      </c>
      <c r="S20" s="20">
        <v>20797558</v>
      </c>
      <c r="T20" s="20">
        <v>21840178</v>
      </c>
      <c r="U20" s="20">
        <v>22637274</v>
      </c>
      <c r="V20" s="20">
        <v>21224496</v>
      </c>
      <c r="W20" s="22">
        <v>23544421</v>
      </c>
      <c r="X20" s="22">
        <v>23904991</v>
      </c>
      <c r="Y20" s="22">
        <v>23596604</v>
      </c>
      <c r="Z20" s="22">
        <v>24932743</v>
      </c>
    </row>
    <row r="21" spans="1:26" ht="21" customHeight="1" x14ac:dyDescent="0.25">
      <c r="A21" s="19" t="s">
        <v>21</v>
      </c>
      <c r="B21" s="45">
        <f>$H$21*3231029656</f>
        <v>5392376.1168726617</v>
      </c>
      <c r="C21" s="45">
        <f>$H$21*3046</f>
        <v>5.083573783203347</v>
      </c>
      <c r="D21" s="45">
        <f>$H$21*3132</f>
        <v>5.2271021303325291</v>
      </c>
      <c r="E21" s="45">
        <f>$H$21*2959</f>
        <v>4.9383765018052213</v>
      </c>
      <c r="F21" s="45">
        <f>$H$21*3164</f>
        <v>5.2805080269387359</v>
      </c>
      <c r="G21" s="45">
        <f>$H$21*3743391300</f>
        <v>6247474.0226367349</v>
      </c>
      <c r="H21" s="44">
        <f>I21/4122405015</f>
        <v>1.6689342689439747E-3</v>
      </c>
      <c r="I21" s="20">
        <v>6880023</v>
      </c>
      <c r="J21" s="20">
        <v>7512522</v>
      </c>
      <c r="K21" s="20">
        <v>7910362</v>
      </c>
      <c r="L21" s="20">
        <v>8449884</v>
      </c>
      <c r="M21" s="20">
        <v>8937792</v>
      </c>
      <c r="N21" s="20">
        <v>9782672</v>
      </c>
      <c r="O21" s="20">
        <v>10138533</v>
      </c>
      <c r="P21" s="20">
        <v>10354938</v>
      </c>
      <c r="Q21" s="20">
        <v>10809529</v>
      </c>
      <c r="R21" s="20">
        <v>11080412</v>
      </c>
      <c r="S21" s="20">
        <v>11371483</v>
      </c>
      <c r="T21" s="20">
        <v>11837862</v>
      </c>
      <c r="U21" s="20">
        <v>12113549</v>
      </c>
      <c r="V21" s="20">
        <v>11345968</v>
      </c>
      <c r="W21" s="22">
        <v>13087584</v>
      </c>
      <c r="X21" s="22">
        <v>13374470</v>
      </c>
      <c r="Y21" s="22">
        <v>12881344</v>
      </c>
      <c r="Z21" s="22">
        <v>13494761</v>
      </c>
    </row>
    <row r="22" spans="1:26" ht="21" customHeight="1" x14ac:dyDescent="0.25">
      <c r="A22" s="19" t="s">
        <v>22</v>
      </c>
      <c r="B22" s="45">
        <f>$H$22*56270453799</f>
        <v>95295280.721290842</v>
      </c>
      <c r="C22" s="45">
        <f>$H$22*6579</f>
        <v>11.14168465932141</v>
      </c>
      <c r="D22" s="45">
        <f>$H$22*6700</f>
        <v>11.34660088424585</v>
      </c>
      <c r="E22" s="45">
        <f>$H$22*6925</f>
        <v>11.727643451254107</v>
      </c>
      <c r="F22" s="45">
        <f>$H$22*7284</f>
        <v>12.335618035947279</v>
      </c>
      <c r="G22" s="45">
        <f>$H$22*72939105927</f>
        <v>123524018.4787164</v>
      </c>
      <c r="H22" s="44">
        <f>I22/80446939080</f>
        <v>1.6935225200366941E-3</v>
      </c>
      <c r="I22" s="20">
        <v>136238703</v>
      </c>
      <c r="J22" s="20">
        <v>148415981</v>
      </c>
      <c r="K22" s="20">
        <v>148910138</v>
      </c>
      <c r="L22" s="20">
        <v>164623842</v>
      </c>
      <c r="M22" s="20">
        <v>178742876</v>
      </c>
      <c r="N22" s="20">
        <v>189597321</v>
      </c>
      <c r="O22" s="20">
        <v>200400691</v>
      </c>
      <c r="P22" s="20">
        <v>208022491</v>
      </c>
      <c r="Q22" s="20">
        <v>214469326</v>
      </c>
      <c r="R22" s="20">
        <v>220241329</v>
      </c>
      <c r="S22" s="20">
        <v>224691974</v>
      </c>
      <c r="T22" s="20">
        <v>234445543</v>
      </c>
      <c r="U22" s="20">
        <v>240498497</v>
      </c>
      <c r="V22" s="20">
        <v>211735530</v>
      </c>
      <c r="W22" s="22">
        <v>242029742</v>
      </c>
      <c r="X22" s="22">
        <v>249048794</v>
      </c>
      <c r="Y22" s="22">
        <v>246543182</v>
      </c>
      <c r="Z22" s="22">
        <v>255670998</v>
      </c>
    </row>
    <row r="23" spans="1:26" ht="21" customHeight="1" x14ac:dyDescent="0.25">
      <c r="A23" s="23" t="s">
        <v>23</v>
      </c>
      <c r="B23" s="45"/>
      <c r="C23" s="45"/>
      <c r="D23" s="45"/>
      <c r="E23" s="45"/>
      <c r="F23" s="45"/>
      <c r="G23" s="45"/>
      <c r="H23" s="44"/>
      <c r="I23" s="20">
        <v>13386423</v>
      </c>
      <c r="J23" s="20">
        <v>14627416</v>
      </c>
      <c r="K23" s="20">
        <v>14288888</v>
      </c>
      <c r="L23" s="20">
        <v>15689336</v>
      </c>
      <c r="M23" s="20">
        <v>17563803</v>
      </c>
      <c r="N23" s="20">
        <v>18070083</v>
      </c>
      <c r="O23" s="20">
        <v>19196199</v>
      </c>
      <c r="P23" s="20">
        <v>19828477</v>
      </c>
      <c r="Q23" s="20">
        <v>20209052</v>
      </c>
      <c r="R23" s="20">
        <v>20690862</v>
      </c>
      <c r="S23" s="20">
        <v>21400320</v>
      </c>
      <c r="T23" s="20">
        <v>22229310</v>
      </c>
      <c r="U23" s="20">
        <v>22458010</v>
      </c>
      <c r="V23" s="20">
        <v>18845452.438597441</v>
      </c>
      <c r="W23" s="22">
        <v>22040854</v>
      </c>
      <c r="X23" s="22">
        <v>22587944</v>
      </c>
      <c r="Y23" s="22">
        <v>22292383</v>
      </c>
      <c r="Z23" s="22">
        <v>23148604</v>
      </c>
    </row>
    <row r="24" spans="1:26" ht="21" customHeight="1" x14ac:dyDescent="0.25">
      <c r="A24" s="23" t="s">
        <v>24</v>
      </c>
      <c r="B24" s="45"/>
      <c r="C24" s="45"/>
      <c r="D24" s="45"/>
      <c r="E24" s="45"/>
      <c r="F24" s="45"/>
      <c r="G24" s="45"/>
      <c r="H24" s="44"/>
      <c r="I24" s="20">
        <v>11404858</v>
      </c>
      <c r="J24" s="20">
        <v>12488983</v>
      </c>
      <c r="K24" s="20">
        <v>11612252</v>
      </c>
      <c r="L24" s="20">
        <v>12300019</v>
      </c>
      <c r="M24" s="20">
        <v>13562753</v>
      </c>
      <c r="N24" s="20">
        <v>13897097</v>
      </c>
      <c r="O24" s="20">
        <v>14893394</v>
      </c>
      <c r="P24" s="20">
        <v>15468191</v>
      </c>
      <c r="Q24" s="20">
        <v>15992567</v>
      </c>
      <c r="R24" s="20">
        <v>16146749</v>
      </c>
      <c r="S24" s="20">
        <v>16285655</v>
      </c>
      <c r="T24" s="20">
        <v>17183773</v>
      </c>
      <c r="U24" s="20">
        <v>17316851</v>
      </c>
      <c r="V24" s="20">
        <v>16137674</v>
      </c>
      <c r="W24" s="22">
        <v>17769337</v>
      </c>
      <c r="X24" s="22">
        <v>17525631</v>
      </c>
      <c r="Y24" s="22">
        <v>17617751</v>
      </c>
      <c r="Z24" s="22">
        <v>19369566</v>
      </c>
    </row>
    <row r="25" spans="1:26" ht="21" customHeight="1" x14ac:dyDescent="0.25">
      <c r="A25" s="23" t="s">
        <v>25</v>
      </c>
      <c r="B25" s="45"/>
      <c r="C25" s="45"/>
      <c r="D25" s="45"/>
      <c r="E25" s="45"/>
      <c r="F25" s="45"/>
      <c r="G25" s="45"/>
      <c r="H25" s="44"/>
      <c r="I25" s="20">
        <v>111447422</v>
      </c>
      <c r="J25" s="20">
        <v>121299582</v>
      </c>
      <c r="K25" s="20">
        <v>123008998</v>
      </c>
      <c r="L25" s="20">
        <v>136634487</v>
      </c>
      <c r="M25" s="20">
        <v>147616320</v>
      </c>
      <c r="N25" s="20">
        <v>157630141</v>
      </c>
      <c r="O25" s="20">
        <v>166311098</v>
      </c>
      <c r="P25" s="20">
        <v>172725823</v>
      </c>
      <c r="Q25" s="20">
        <v>178267707</v>
      </c>
      <c r="R25" s="20">
        <v>183403718</v>
      </c>
      <c r="S25" s="20">
        <v>187005999</v>
      </c>
      <c r="T25" s="20">
        <v>195032460</v>
      </c>
      <c r="U25" s="20">
        <v>200723636</v>
      </c>
      <c r="V25" s="20">
        <v>176752403.56140256</v>
      </c>
      <c r="W25" s="22">
        <v>202219551</v>
      </c>
      <c r="X25" s="22">
        <v>208935219</v>
      </c>
      <c r="Y25" s="22">
        <v>206633048</v>
      </c>
      <c r="Z25" s="22">
        <v>213152828</v>
      </c>
    </row>
    <row r="26" spans="1:26" ht="21" customHeight="1" x14ac:dyDescent="0.25">
      <c r="A26" s="19" t="s">
        <v>26</v>
      </c>
      <c r="B26" s="45">
        <f>$H$26*2464352440</f>
        <v>5651932.7434177343</v>
      </c>
      <c r="C26" s="45">
        <f>$H$26*2917</f>
        <v>6.6900689791552423</v>
      </c>
      <c r="D26" s="45">
        <f>$H$26*2936</f>
        <v>6.7336450198148068</v>
      </c>
      <c r="E26" s="45">
        <f>$H$26*2995</f>
        <v>6.868960093441876</v>
      </c>
      <c r="F26" s="45">
        <f>$H$26*3079</f>
        <v>7.0616120626736345</v>
      </c>
      <c r="G26" s="45">
        <f>$H$26*2909961264</f>
        <v>6673925.8083064035</v>
      </c>
      <c r="H26" s="44">
        <f>I26/3013314519</f>
        <v>2.2934758241876046E-3</v>
      </c>
      <c r="I26" s="20">
        <v>6910964</v>
      </c>
      <c r="J26" s="20">
        <v>7324982</v>
      </c>
      <c r="K26" s="20">
        <v>7374935</v>
      </c>
      <c r="L26" s="20">
        <v>7906943</v>
      </c>
      <c r="M26" s="20">
        <v>7608889</v>
      </c>
      <c r="N26" s="20">
        <v>8212422</v>
      </c>
      <c r="O26" s="20">
        <v>8505693</v>
      </c>
      <c r="P26" s="20">
        <v>8779305</v>
      </c>
      <c r="Q26" s="20">
        <v>8584514</v>
      </c>
      <c r="R26" s="20">
        <v>7602217</v>
      </c>
      <c r="S26" s="20">
        <v>8087444</v>
      </c>
      <c r="T26" s="20">
        <v>8932782</v>
      </c>
      <c r="U26" s="20">
        <v>9336037</v>
      </c>
      <c r="V26" s="20">
        <v>8031794</v>
      </c>
      <c r="W26" s="22">
        <v>8905322</v>
      </c>
      <c r="X26" s="22">
        <v>9379151</v>
      </c>
      <c r="Y26" s="22">
        <v>9610208</v>
      </c>
      <c r="Z26" s="22">
        <v>10248568</v>
      </c>
    </row>
    <row r="27" spans="1:26" ht="21" customHeight="1" x14ac:dyDescent="0.25">
      <c r="A27" s="19" t="s">
        <v>27</v>
      </c>
      <c r="B27" s="45">
        <f>$H$27*427024355</f>
        <v>1246650.9776916353</v>
      </c>
      <c r="C27" s="45">
        <f>$H$27*4708</f>
        <v>13.744491934124504</v>
      </c>
      <c r="D27" s="45">
        <f>$H$27*4550</f>
        <v>13.283228186122875</v>
      </c>
      <c r="E27" s="45">
        <f>$H$27*4846</f>
        <v>14.147367865923396</v>
      </c>
      <c r="F27" s="45">
        <f>$H$27*5171</f>
        <v>15.096169879217888</v>
      </c>
      <c r="G27" s="45">
        <f>$H$27*577180555</f>
        <v>1685015.6080567129</v>
      </c>
      <c r="H27" s="44">
        <f>I27/638675368</f>
        <v>2.9193908101368955E-3</v>
      </c>
      <c r="I27" s="20">
        <v>1864543</v>
      </c>
      <c r="J27" s="20">
        <v>1902177</v>
      </c>
      <c r="K27" s="20">
        <v>2033411</v>
      </c>
      <c r="L27" s="20">
        <v>2229180</v>
      </c>
      <c r="M27" s="20">
        <v>2454999</v>
      </c>
      <c r="N27" s="20">
        <v>1950139</v>
      </c>
      <c r="O27" s="20">
        <v>2240082</v>
      </c>
      <c r="P27" s="20">
        <v>1923155</v>
      </c>
      <c r="Q27" s="20">
        <v>2346810</v>
      </c>
      <c r="R27" s="20">
        <v>2663699</v>
      </c>
      <c r="S27" s="20">
        <v>2409050</v>
      </c>
      <c r="T27" s="20">
        <v>2255653</v>
      </c>
      <c r="U27" s="20">
        <v>2124983</v>
      </c>
      <c r="V27" s="20">
        <v>1607653</v>
      </c>
      <c r="W27" s="22">
        <v>1754255</v>
      </c>
      <c r="X27" s="22">
        <v>1787715</v>
      </c>
      <c r="Y27" s="22">
        <v>1813598</v>
      </c>
      <c r="Z27" s="22">
        <v>1921466</v>
      </c>
    </row>
    <row r="28" spans="1:26" ht="21" customHeight="1" x14ac:dyDescent="0.25">
      <c r="A28" s="19" t="s">
        <v>28</v>
      </c>
      <c r="B28" s="45">
        <f>$H$28*1617426035</f>
        <v>5428510.1677776603</v>
      </c>
      <c r="C28" s="45">
        <f>$H$28*11967</f>
        <v>40.164421600765976</v>
      </c>
      <c r="D28" s="45">
        <f>$H$28*12670</f>
        <v>42.523875798588193</v>
      </c>
      <c r="E28" s="45">
        <f>$H$28*13455</f>
        <v>45.158543715075304</v>
      </c>
      <c r="F28" s="45">
        <f>$H$28*13882</f>
        <v>46.591668811049828</v>
      </c>
      <c r="G28" s="45">
        <f>$H$28*2255456940</f>
        <v>7569910.8749505747</v>
      </c>
      <c r="H28" s="44">
        <f>I28/2242105528</f>
        <v>3.3562648617670239E-3</v>
      </c>
      <c r="I28" s="20">
        <v>7525100</v>
      </c>
      <c r="J28" s="20">
        <v>8663619</v>
      </c>
      <c r="K28" s="20">
        <v>8436303</v>
      </c>
      <c r="L28" s="20">
        <v>8457008</v>
      </c>
      <c r="M28" s="20">
        <v>7785269</v>
      </c>
      <c r="N28" s="20">
        <v>7756800</v>
      </c>
      <c r="O28" s="20">
        <v>8598669</v>
      </c>
      <c r="P28" s="20">
        <v>8371348</v>
      </c>
      <c r="Q28" s="20">
        <v>8693747</v>
      </c>
      <c r="R28" s="20">
        <v>8635514</v>
      </c>
      <c r="S28" s="20">
        <v>8696704</v>
      </c>
      <c r="T28" s="20">
        <v>8785457</v>
      </c>
      <c r="U28" s="20">
        <v>8416846</v>
      </c>
      <c r="V28" s="20">
        <v>8584100</v>
      </c>
      <c r="W28" s="22">
        <v>9319452</v>
      </c>
      <c r="X28" s="22">
        <v>10477956.699999999</v>
      </c>
      <c r="Y28" s="22">
        <v>13063496</v>
      </c>
      <c r="Z28" s="22">
        <v>13674001</v>
      </c>
    </row>
    <row r="29" spans="1:26" ht="21" customHeight="1" x14ac:dyDescent="0.25">
      <c r="A29" s="19" t="s">
        <v>29</v>
      </c>
      <c r="B29" s="45">
        <f>$H$29*1428127096</f>
        <v>4090216.3029505345</v>
      </c>
      <c r="C29" s="45">
        <f>$H$29*5552</f>
        <v>15.901162422858594</v>
      </c>
      <c r="D29" s="45">
        <f>$H$29*5481</f>
        <v>15.697815425015841</v>
      </c>
      <c r="E29" s="45">
        <f>$H$29*5634</f>
        <v>16.136013885155858</v>
      </c>
      <c r="F29" s="45">
        <f>$H$29*5644</f>
        <v>16.164654307387231</v>
      </c>
      <c r="G29" s="45">
        <f>$H$29*1734410944</f>
        <v>4967426.1758875176</v>
      </c>
      <c r="H29" s="44">
        <f>I29/1915634817</f>
        <v>2.8640422231373548E-3</v>
      </c>
      <c r="I29" s="20">
        <v>5486459</v>
      </c>
      <c r="J29" s="20">
        <v>5416732</v>
      </c>
      <c r="K29" s="20">
        <v>5040946</v>
      </c>
      <c r="L29" s="20">
        <v>4702403</v>
      </c>
      <c r="M29" s="20">
        <v>4641887</v>
      </c>
      <c r="N29" s="20">
        <v>4880072</v>
      </c>
      <c r="O29" s="20">
        <v>4885819</v>
      </c>
      <c r="P29" s="20">
        <v>5046668</v>
      </c>
      <c r="Q29" s="20">
        <v>5211406</v>
      </c>
      <c r="R29" s="20">
        <v>5329324</v>
      </c>
      <c r="S29" s="20">
        <v>5333755</v>
      </c>
      <c r="T29" s="20">
        <v>5337612</v>
      </c>
      <c r="U29" s="20">
        <v>5443881</v>
      </c>
      <c r="V29" s="20">
        <v>4429724</v>
      </c>
      <c r="W29" s="22">
        <v>5272562</v>
      </c>
      <c r="X29" s="22">
        <v>5375702</v>
      </c>
      <c r="Y29" s="22">
        <v>5442777</v>
      </c>
      <c r="Z29" s="22">
        <v>5265658</v>
      </c>
    </row>
    <row r="30" spans="1:26" ht="21" customHeight="1" x14ac:dyDescent="0.25">
      <c r="A30" s="19" t="s">
        <v>30</v>
      </c>
      <c r="B30" s="45">
        <f>$H$30*4495918917</f>
        <v>8731987.1125789601</v>
      </c>
      <c r="C30" s="45">
        <f>$H$30*2780</f>
        <v>5.3993242807785062</v>
      </c>
      <c r="D30" s="45">
        <f>$H$30*2847</f>
        <v>5.5294518803512256</v>
      </c>
      <c r="E30" s="45">
        <f>$H$30*3049</f>
        <v>5.9217768820480812</v>
      </c>
      <c r="F30" s="45">
        <f>$H$30*3192</f>
        <v>6.1995119080017957</v>
      </c>
      <c r="G30" s="45">
        <f>$H$30*5940008704</f>
        <v>11536702.598396715</v>
      </c>
      <c r="H30" s="44">
        <f>I30/6514108020</f>
        <v>1.9422029786973045E-3</v>
      </c>
      <c r="I30" s="20">
        <v>12651720</v>
      </c>
      <c r="J30" s="20">
        <v>13580502</v>
      </c>
      <c r="K30" s="20">
        <v>13998851</v>
      </c>
      <c r="L30" s="20">
        <v>15106528</v>
      </c>
      <c r="M30" s="20">
        <v>16366999</v>
      </c>
      <c r="N30" s="20">
        <v>17066135</v>
      </c>
      <c r="O30" s="20">
        <v>17746782</v>
      </c>
      <c r="P30" s="20">
        <v>18750443</v>
      </c>
      <c r="Q30" s="20">
        <v>18866671</v>
      </c>
      <c r="R30" s="20">
        <v>18924869</v>
      </c>
      <c r="S30" s="20">
        <v>18473111</v>
      </c>
      <c r="T30" s="20">
        <v>19758433</v>
      </c>
      <c r="U30" s="20">
        <v>20626256</v>
      </c>
      <c r="V30" s="20">
        <v>18879119</v>
      </c>
      <c r="W30" s="22">
        <v>21156596</v>
      </c>
      <c r="X30" s="22">
        <v>21064071</v>
      </c>
      <c r="Y30" s="22">
        <v>21282469</v>
      </c>
      <c r="Z30" s="22">
        <v>21473593</v>
      </c>
    </row>
    <row r="31" spans="1:26" ht="21" customHeight="1" x14ac:dyDescent="0.25">
      <c r="A31" s="19" t="s">
        <v>31</v>
      </c>
      <c r="B31" s="45">
        <f>$H$31*2678008365</f>
        <v>4637356.0910453545</v>
      </c>
      <c r="C31" s="45">
        <f>$H$31*2236</f>
        <v>3.8719551272116406</v>
      </c>
      <c r="D31" s="45">
        <f>$H$31*2234</f>
        <v>3.8684918399779988</v>
      </c>
      <c r="E31" s="45">
        <f>$H$31*2270</f>
        <v>3.9308310101835531</v>
      </c>
      <c r="F31" s="45">
        <f>$H$31*2365</f>
        <v>4.0953371537815428</v>
      </c>
      <c r="G31" s="45">
        <f>$H$31*3205434120</f>
        <v>5550669.5330380742</v>
      </c>
      <c r="H31" s="44">
        <f>I31/3400511481</f>
        <v>1.7316436168209484E-3</v>
      </c>
      <c r="I31" s="20">
        <v>5888474</v>
      </c>
      <c r="J31" s="20">
        <v>6328455</v>
      </c>
      <c r="K31" s="20">
        <v>6587873</v>
      </c>
      <c r="L31" s="20">
        <v>6980479</v>
      </c>
      <c r="M31" s="20">
        <v>7384505</v>
      </c>
      <c r="N31" s="20">
        <v>7734458</v>
      </c>
      <c r="O31" s="20">
        <v>8294320</v>
      </c>
      <c r="P31" s="20">
        <v>8487313</v>
      </c>
      <c r="Q31" s="20">
        <v>8519702</v>
      </c>
      <c r="R31" s="20">
        <v>9075999</v>
      </c>
      <c r="S31" s="20">
        <v>9434737</v>
      </c>
      <c r="T31" s="20">
        <v>9666999</v>
      </c>
      <c r="U31" s="20">
        <v>9803780</v>
      </c>
      <c r="V31" s="20">
        <v>8707290</v>
      </c>
      <c r="W31" s="22">
        <v>9703870</v>
      </c>
      <c r="X31" s="22">
        <v>10046277</v>
      </c>
      <c r="Y31" s="22">
        <v>9342368</v>
      </c>
      <c r="Z31" s="22">
        <v>10579219</v>
      </c>
    </row>
    <row r="32" spans="1:26" ht="21" customHeight="1" x14ac:dyDescent="0.25">
      <c r="A32" s="19" t="s">
        <v>32</v>
      </c>
      <c r="B32" s="45">
        <f>$H$32*1413560460</f>
        <v>2315851.84968341</v>
      </c>
      <c r="C32" s="45">
        <f>$H$32*2059</f>
        <v>3.3732826387193522</v>
      </c>
      <c r="D32" s="45">
        <f>$H$32*2094</f>
        <v>3.4306235286441593</v>
      </c>
      <c r="E32" s="45">
        <f>$H$32*2232</f>
        <v>3.6567104660619689</v>
      </c>
      <c r="F32" s="45">
        <f>$H$32*2393</f>
        <v>3.9204785597160807</v>
      </c>
      <c r="G32" s="45">
        <f>$H$32*1840774772</f>
        <v>3015761.8165032412</v>
      </c>
      <c r="H32" s="44">
        <f>I32/1993671360</f>
        <v>1.6383111407087675E-3</v>
      </c>
      <c r="I32" s="20">
        <v>3266254</v>
      </c>
      <c r="J32" s="20">
        <v>3598432</v>
      </c>
      <c r="K32" s="20">
        <v>3740600</v>
      </c>
      <c r="L32" s="20">
        <v>4034361</v>
      </c>
      <c r="M32" s="20">
        <v>4245537</v>
      </c>
      <c r="N32" s="20">
        <v>4752177</v>
      </c>
      <c r="O32" s="20">
        <v>4828116</v>
      </c>
      <c r="P32" s="20">
        <v>5173301</v>
      </c>
      <c r="Q32" s="20">
        <v>5466266</v>
      </c>
      <c r="R32" s="20">
        <v>5588107</v>
      </c>
      <c r="S32" s="20">
        <v>5944145</v>
      </c>
      <c r="T32" s="20">
        <v>6063316</v>
      </c>
      <c r="U32" s="20">
        <v>6081464</v>
      </c>
      <c r="V32" s="20">
        <v>5850487</v>
      </c>
      <c r="W32" s="22">
        <v>6282945</v>
      </c>
      <c r="X32" s="22">
        <v>6314089</v>
      </c>
      <c r="Y32" s="22">
        <v>6436178</v>
      </c>
      <c r="Z32" s="22">
        <v>6574271</v>
      </c>
    </row>
    <row r="33" spans="1:26" ht="21" customHeight="1" x14ac:dyDescent="0.25">
      <c r="A33" s="19" t="s">
        <v>33</v>
      </c>
      <c r="B33" s="45">
        <f>$H$33*1638701740</f>
        <v>3937659.5332488576</v>
      </c>
      <c r="C33" s="45">
        <f>$H$33*6124</f>
        <v>14.715446010093334</v>
      </c>
      <c r="D33" s="45">
        <f>$H$33*6382</f>
        <v>15.335397850492432</v>
      </c>
      <c r="E33" s="45">
        <f>$H$33*6643</f>
        <v>15.962558433221753</v>
      </c>
      <c r="F33" s="45">
        <f>$H$33*6782</f>
        <v>16.296563494522044</v>
      </c>
      <c r="G33" s="45">
        <f>$H$33*2022905863</f>
        <v>4860869.0415541744</v>
      </c>
      <c r="H33" s="44">
        <f>I33/2140374880</f>
        <v>2.4029141100740258E-3</v>
      </c>
      <c r="I33" s="20">
        <v>5143137</v>
      </c>
      <c r="J33" s="20">
        <v>5016741</v>
      </c>
      <c r="K33" s="20">
        <v>4823192</v>
      </c>
      <c r="L33" s="20">
        <v>5338879</v>
      </c>
      <c r="M33" s="20">
        <v>5466509</v>
      </c>
      <c r="N33" s="20">
        <v>5526840</v>
      </c>
      <c r="O33" s="20">
        <v>5781849</v>
      </c>
      <c r="P33" s="20">
        <v>6094038</v>
      </c>
      <c r="Q33" s="20">
        <v>6598403</v>
      </c>
      <c r="R33" s="20">
        <v>6506248</v>
      </c>
      <c r="S33" s="20">
        <v>6584715</v>
      </c>
      <c r="T33" s="20">
        <v>7110940</v>
      </c>
      <c r="U33" s="20">
        <v>8737472</v>
      </c>
      <c r="V33" s="20">
        <v>8499315</v>
      </c>
      <c r="W33" s="22">
        <v>8875091</v>
      </c>
      <c r="X33" s="22">
        <v>8387108</v>
      </c>
      <c r="Y33" s="22">
        <v>8459587</v>
      </c>
      <c r="Z33" s="22">
        <v>8920642</v>
      </c>
    </row>
    <row r="34" spans="1:26" ht="21" customHeight="1" x14ac:dyDescent="0.25">
      <c r="A34" s="19" t="s">
        <v>34</v>
      </c>
      <c r="B34" s="45">
        <f>$H$34*524512856</f>
        <v>1223875.0771443376</v>
      </c>
      <c r="C34" s="45">
        <f>$H$34*2802</f>
        <v>6.5380627508554978</v>
      </c>
      <c r="D34" s="45">
        <f>$H$34*2873</f>
        <v>6.7037310075688241</v>
      </c>
      <c r="E34" s="45">
        <f>$H$34*3018</f>
        <v>7.0420675881805472</v>
      </c>
      <c r="F34" s="45">
        <f>$H$34*3385</f>
        <v>7.898409140487459</v>
      </c>
      <c r="G34" s="45">
        <f>$H$34*650799380</f>
        <v>1518546.4613339945</v>
      </c>
      <c r="H34" s="44">
        <f>I34/701643980</f>
        <v>2.3333557283567088E-3</v>
      </c>
      <c r="I34" s="20">
        <v>1637185</v>
      </c>
      <c r="J34" s="20">
        <v>1902059</v>
      </c>
      <c r="K34" s="20">
        <v>2082047</v>
      </c>
      <c r="L34" s="20">
        <v>2307874</v>
      </c>
      <c r="M34" s="20">
        <v>2168906</v>
      </c>
      <c r="N34" s="20">
        <v>2440755</v>
      </c>
      <c r="O34" s="20">
        <v>2491026</v>
      </c>
      <c r="P34" s="20">
        <v>2607186</v>
      </c>
      <c r="Q34" s="20">
        <v>2540855</v>
      </c>
      <c r="R34" s="20">
        <v>2507255</v>
      </c>
      <c r="S34" s="20">
        <v>2649033</v>
      </c>
      <c r="T34" s="20">
        <v>2752958</v>
      </c>
      <c r="U34" s="20">
        <v>2919599</v>
      </c>
      <c r="V34" s="20">
        <v>2517872</v>
      </c>
      <c r="W34" s="22">
        <v>2749892</v>
      </c>
      <c r="X34" s="22">
        <v>2947074</v>
      </c>
      <c r="Y34" s="22">
        <v>2819805</v>
      </c>
      <c r="Z34" s="22">
        <v>3023763</v>
      </c>
    </row>
    <row r="35" spans="1:26" ht="21" customHeight="1" x14ac:dyDescent="0.25">
      <c r="A35" s="19" t="s">
        <v>35</v>
      </c>
      <c r="B35" s="45">
        <f>$H$35*1251330453</f>
        <v>2229331.6905225497</v>
      </c>
      <c r="C35" s="45">
        <f>$H$35*3149</f>
        <v>5.6101611501782163</v>
      </c>
      <c r="D35" s="45">
        <f>$H$35*3203</f>
        <v>5.7063658825089956</v>
      </c>
      <c r="E35" s="45">
        <f>$H$35*3411</f>
        <v>6.0769322588942192</v>
      </c>
      <c r="F35" s="45">
        <f>$H$35*3584</f>
        <v>6.3851437161761604</v>
      </c>
      <c r="G35" s="45">
        <f>$H$35*1649241066</f>
        <v>2938236.9500640547</v>
      </c>
      <c r="H35" s="44">
        <f>I35/1714589106</f>
        <v>1.7815691172366518E-3</v>
      </c>
      <c r="I35" s="20">
        <v>3054659</v>
      </c>
      <c r="J35" s="20">
        <v>3212843</v>
      </c>
      <c r="K35" s="20">
        <v>3243767</v>
      </c>
      <c r="L35" s="20">
        <v>3351315</v>
      </c>
      <c r="M35" s="20">
        <v>3548168</v>
      </c>
      <c r="N35" s="20">
        <v>3882453</v>
      </c>
      <c r="O35" s="20">
        <v>3947464</v>
      </c>
      <c r="P35" s="20">
        <v>3957775</v>
      </c>
      <c r="Q35" s="20">
        <v>4163474</v>
      </c>
      <c r="R35" s="20">
        <v>4176645</v>
      </c>
      <c r="S35" s="20">
        <v>4305190</v>
      </c>
      <c r="T35" s="20">
        <v>4440780</v>
      </c>
      <c r="U35" s="20">
        <v>4625127</v>
      </c>
      <c r="V35" s="20">
        <v>4022097</v>
      </c>
      <c r="W35" s="22">
        <v>4571302</v>
      </c>
      <c r="X35" s="22">
        <v>4730624</v>
      </c>
      <c r="Y35" s="22">
        <v>4789007</v>
      </c>
      <c r="Z35" s="22">
        <v>4774634</v>
      </c>
    </row>
    <row r="36" spans="1:26" ht="6" customHeight="1" x14ac:dyDescent="0.25">
      <c r="A36" s="19"/>
      <c r="B36" s="39"/>
      <c r="C36" s="39"/>
      <c r="D36" s="39"/>
      <c r="E36" s="39"/>
      <c r="F36" s="39"/>
      <c r="G36" s="39"/>
      <c r="H36" s="39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4"/>
      <c r="X36" s="24"/>
      <c r="Y36" s="24"/>
      <c r="Z36" s="24"/>
    </row>
    <row r="37" spans="1:26" ht="21" customHeight="1" x14ac:dyDescent="0.25">
      <c r="A37" s="25" t="s">
        <v>36</v>
      </c>
      <c r="B37" s="40"/>
      <c r="C37" s="40"/>
      <c r="D37" s="40"/>
      <c r="E37" s="40"/>
      <c r="F37" s="40"/>
      <c r="G37" s="43"/>
      <c r="H37" s="43"/>
      <c r="I37" s="26">
        <v>293189822</v>
      </c>
      <c r="J37" s="26">
        <v>318790856</v>
      </c>
      <c r="K37" s="26">
        <v>322523652</v>
      </c>
      <c r="L37" s="26">
        <v>347414072</v>
      </c>
      <c r="M37" s="26">
        <v>369930807</v>
      </c>
      <c r="N37" s="26">
        <v>391432954</v>
      </c>
      <c r="O37" s="26">
        <v>413533783</v>
      </c>
      <c r="P37" s="26">
        <v>423193988</v>
      </c>
      <c r="Q37" s="26">
        <v>438189192</v>
      </c>
      <c r="R37" s="26">
        <v>455722499</v>
      </c>
      <c r="S37" s="26">
        <v>467758714</v>
      </c>
      <c r="T37" s="26">
        <v>486357099</v>
      </c>
      <c r="U37" s="26">
        <v>497181839</v>
      </c>
      <c r="V37" s="26">
        <v>443144014</v>
      </c>
      <c r="W37" s="27">
        <v>501303189</v>
      </c>
      <c r="X37" s="27">
        <v>515710650.69999999</v>
      </c>
      <c r="Y37" s="27">
        <v>515116322</v>
      </c>
      <c r="Z37" s="27">
        <v>533152582</v>
      </c>
    </row>
    <row r="38" spans="1:26" ht="6" customHeight="1" x14ac:dyDescent="0.25">
      <c r="A38" s="19"/>
      <c r="B38" s="39"/>
      <c r="C38" s="39"/>
      <c r="D38" s="39"/>
      <c r="E38" s="39"/>
      <c r="F38" s="39"/>
      <c r="G38" s="39"/>
      <c r="H38" s="39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4"/>
      <c r="X38" s="24"/>
      <c r="Y38" s="24"/>
      <c r="Z38" s="24"/>
    </row>
    <row r="39" spans="1:26" ht="21" customHeight="1" x14ac:dyDescent="0.25">
      <c r="A39" s="28" t="s">
        <v>37</v>
      </c>
      <c r="B39" s="24"/>
      <c r="C39" s="24"/>
      <c r="D39" s="24"/>
      <c r="E39" s="24"/>
      <c r="F39" s="24"/>
      <c r="G39" s="24"/>
      <c r="H39" s="24"/>
      <c r="I39" s="20">
        <v>23672020</v>
      </c>
      <c r="J39" s="20">
        <v>26618399</v>
      </c>
      <c r="K39" s="20">
        <v>27397396</v>
      </c>
      <c r="L39" s="20">
        <v>31092161</v>
      </c>
      <c r="M39" s="20">
        <v>32442212</v>
      </c>
      <c r="N39" s="20">
        <v>35162701</v>
      </c>
      <c r="O39" s="20">
        <v>38194925</v>
      </c>
      <c r="P39" s="20">
        <v>39716922</v>
      </c>
      <c r="Q39" s="20">
        <v>40458121</v>
      </c>
      <c r="R39" s="20">
        <v>42246926</v>
      </c>
      <c r="S39" s="20">
        <v>42666329</v>
      </c>
      <c r="T39" s="20">
        <v>44420343</v>
      </c>
      <c r="U39" s="20">
        <v>46142106</v>
      </c>
      <c r="V39" s="20">
        <v>40960444</v>
      </c>
      <c r="W39" s="20">
        <v>47356218</v>
      </c>
      <c r="X39" s="20">
        <v>48284927</v>
      </c>
      <c r="Y39" s="20">
        <v>47009129</v>
      </c>
      <c r="Z39" s="20">
        <v>48589875</v>
      </c>
    </row>
    <row r="40" spans="1:26" ht="21" customHeight="1" x14ac:dyDescent="0.25">
      <c r="A40" s="28" t="s">
        <v>38</v>
      </c>
      <c r="B40" s="24"/>
      <c r="C40" s="24"/>
      <c r="D40" s="24"/>
      <c r="E40" s="24"/>
      <c r="F40" s="24"/>
      <c r="G40" s="24"/>
      <c r="H40" s="24"/>
      <c r="I40" s="20">
        <v>2831473</v>
      </c>
      <c r="J40" s="20">
        <v>3460639</v>
      </c>
      <c r="K40" s="20">
        <v>2772041</v>
      </c>
      <c r="L40" s="20">
        <v>3575225</v>
      </c>
      <c r="M40" s="20">
        <v>3883297</v>
      </c>
      <c r="N40" s="20">
        <v>4603062</v>
      </c>
      <c r="O40" s="20">
        <v>4706063</v>
      </c>
      <c r="P40" s="20">
        <v>4397059</v>
      </c>
      <c r="Q40" s="20">
        <v>3859052</v>
      </c>
      <c r="R40" s="20">
        <v>3612049</v>
      </c>
      <c r="S40" s="20">
        <v>3790051</v>
      </c>
      <c r="T40" s="20">
        <v>3849052</v>
      </c>
      <c r="U40" s="20">
        <v>3281044</v>
      </c>
      <c r="V40" s="20">
        <v>2739037</v>
      </c>
      <c r="W40" s="20">
        <v>3502047</v>
      </c>
      <c r="X40" s="20">
        <v>3726050</v>
      </c>
      <c r="Y40" s="20">
        <v>3606048</v>
      </c>
      <c r="Z40" s="20">
        <v>3875052</v>
      </c>
    </row>
    <row r="41" spans="1:26" ht="6" customHeight="1" x14ac:dyDescent="0.25">
      <c r="A41" s="28"/>
      <c r="B41" s="24"/>
      <c r="C41" s="24"/>
      <c r="D41" s="24"/>
      <c r="E41" s="24"/>
      <c r="F41" s="24"/>
      <c r="G41" s="24"/>
      <c r="H41" s="24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4"/>
      <c r="X41" s="24"/>
      <c r="Y41" s="24"/>
      <c r="Z41" s="24"/>
    </row>
    <row r="42" spans="1:26" ht="21" customHeight="1" x14ac:dyDescent="0.25">
      <c r="A42" s="29" t="s">
        <v>39</v>
      </c>
      <c r="B42" s="41"/>
      <c r="C42" s="41"/>
      <c r="D42" s="41"/>
      <c r="E42" s="41"/>
      <c r="F42" s="41"/>
      <c r="G42" s="41"/>
      <c r="H42" s="41"/>
      <c r="I42" s="30">
        <v>319693315</v>
      </c>
      <c r="J42" s="30">
        <v>348869894</v>
      </c>
      <c r="K42" s="30">
        <v>352693089</v>
      </c>
      <c r="L42" s="30">
        <v>382081458</v>
      </c>
      <c r="M42" s="30">
        <v>406256316</v>
      </c>
      <c r="N42" s="30">
        <v>431198717</v>
      </c>
      <c r="O42" s="30">
        <v>456434771</v>
      </c>
      <c r="P42" s="30">
        <v>467307969</v>
      </c>
      <c r="Q42" s="30">
        <v>482506365</v>
      </c>
      <c r="R42" s="30">
        <v>501581474</v>
      </c>
      <c r="S42" s="30">
        <v>514215094</v>
      </c>
      <c r="T42" s="30">
        <v>534626494</v>
      </c>
      <c r="U42" s="30">
        <v>546604989</v>
      </c>
      <c r="V42" s="30">
        <v>486843495</v>
      </c>
      <c r="W42" s="31">
        <v>552161454</v>
      </c>
      <c r="X42" s="31">
        <v>567721627.70000005</v>
      </c>
      <c r="Y42" s="31">
        <v>565731499</v>
      </c>
      <c r="Z42" s="31">
        <v>585617509</v>
      </c>
    </row>
    <row r="43" spans="1:26" ht="6" customHeight="1" x14ac:dyDescent="0.25">
      <c r="A43" s="32"/>
      <c r="B43" s="34"/>
      <c r="C43" s="34"/>
      <c r="D43" s="34"/>
      <c r="E43" s="34"/>
      <c r="F43" s="34"/>
      <c r="G43" s="34"/>
      <c r="H43" s="34"/>
      <c r="I43" s="33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7.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2" customHeight="1" x14ac:dyDescent="0.25">
      <c r="A45" s="35" t="s">
        <v>40</v>
      </c>
      <c r="B45" s="35"/>
      <c r="C45" s="35"/>
      <c r="D45" s="35"/>
      <c r="E45" s="35"/>
      <c r="F45" s="35"/>
      <c r="G45" s="35"/>
      <c r="H45" s="35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2" customHeight="1" x14ac:dyDescent="0.25">
      <c r="A46" s="35" t="s">
        <v>41</v>
      </c>
      <c r="B46" s="35"/>
      <c r="C46" s="35"/>
      <c r="D46" s="35"/>
      <c r="E46" s="35"/>
      <c r="F46" s="35"/>
      <c r="G46" s="35"/>
      <c r="H46" s="35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37"/>
      <c r="U46" s="38"/>
      <c r="V46" s="38"/>
      <c r="W46" s="38"/>
      <c r="X46" s="38"/>
      <c r="Y46" s="38"/>
      <c r="Z46" s="38"/>
    </row>
  </sheetData>
  <pageMargins left="0.7" right="0.7" top="0.75" bottom="0.75" header="0.3" footer="0.3"/>
  <ignoredErrors>
    <ignoredError sqref="F9:F11 F14:F22 F12:F13 F26:F3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Porlles</dc:creator>
  <cp:lastModifiedBy>Micheli</cp:lastModifiedBy>
  <dcterms:created xsi:type="dcterms:W3CDTF">2026-02-09T16:38:51Z</dcterms:created>
  <dcterms:modified xsi:type="dcterms:W3CDTF">2026-06-23T21:16:06Z</dcterms:modified>
</cp:coreProperties>
</file>